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Time Log" sheetId="3" state="visible" r:id="rId3"/>
    <sheet xmlns:r="http://schemas.openxmlformats.org/officeDocument/2006/relationships" name="Mileage Log" sheetId="4" state="visible" r:id="rId4"/>
    <sheet xmlns:r="http://schemas.openxmlformats.org/officeDocument/2006/relationships" name="Lists" sheetId="5" state="hidden" r:id="rId5"/>
  </sheets>
  <definedNames>
    <definedName name="_xlnm.Print_Area" localSheetId="0">'Instructions'!$A$1:$D$24</definedName>
    <definedName name="_xlnm.Print_Area" localSheetId="1">'Summary'!$A$1:$I$36</definedName>
    <definedName name="_xlnm.Print_Titles" localSheetId="2">'Time Log'!$1:$1</definedName>
    <definedName name="_xlnm.Print_Area" localSheetId="2">'Time Log'!$A$1:$E$50</definedName>
    <definedName name="_xlnm.Print_Titles" localSheetId="3">'Mileage Log'!$1:$1</definedName>
    <definedName name="_xlnm.Print_Area" localSheetId="3">'Mileage Log'!$A$1:$G$50</definedName>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mmm"/>
    <numFmt numFmtId="166" formatCode="yyyy-mm-dd"/>
    <numFmt numFmtId="167" formatCode="mmm d, yyyy"/>
  </numFmts>
  <fonts count="10">
    <font>
      <name val="Calibri"/>
      <family val="2"/>
      <color theme="1"/>
      <sz val="11"/>
      <scheme val="minor"/>
    </font>
    <font>
      <name val="Aptos Display"/>
      <b val="1"/>
      <color rgb="00FFFFFF"/>
      <sz val="22"/>
    </font>
    <font>
      <name val="Aptos"/>
      <i val="1"/>
      <color rgb="00667782"/>
      <sz val="10"/>
    </font>
    <font>
      <name val="Aptos"/>
      <b val="1"/>
      <color rgb="00FFFFFF"/>
      <sz val="12"/>
    </font>
    <font>
      <name val="Aptos"/>
      <b val="1"/>
      <color rgb="00FFFFFF"/>
    </font>
    <font>
      <name val="Aptos"/>
      <b val="1"/>
      <color rgb="0024313A"/>
    </font>
    <font>
      <name val="Aptos"/>
      <color rgb="0024313A"/>
    </font>
    <font>
      <name val="Aptos"/>
      <b val="1"/>
      <color rgb="002F6B8A"/>
    </font>
    <font>
      <name val="Aptos"/>
      <b val="1"/>
      <color rgb="0017324D"/>
      <sz val="13"/>
    </font>
    <font>
      <name val="Aptos Display"/>
      <b val="1"/>
      <color rgb="0017324D"/>
      <sz val="24"/>
    </font>
  </fonts>
  <fills count="10">
    <fill>
      <patternFill/>
    </fill>
    <fill>
      <patternFill patternType="gray125"/>
    </fill>
    <fill>
      <patternFill patternType="solid">
        <fgColor rgb="0017324D"/>
      </patternFill>
    </fill>
    <fill>
      <patternFill patternType="solid">
        <fgColor rgb="00EAF2F5"/>
      </patternFill>
    </fill>
    <fill>
      <patternFill patternType="solid">
        <fgColor rgb="002F6B8A"/>
      </patternFill>
    </fill>
    <fill>
      <patternFill patternType="solid">
        <fgColor rgb="002A9D8F"/>
      </patternFill>
    </fill>
    <fill>
      <patternFill patternType="solid">
        <fgColor rgb="00F7F4ED"/>
      </patternFill>
    </fill>
    <fill>
      <patternFill patternType="solid">
        <fgColor rgb="00E9C46A"/>
      </patternFill>
    </fill>
    <fill>
      <patternFill patternType="solid">
        <fgColor rgb="00E8F5F2"/>
      </patternFill>
    </fill>
    <fill>
      <patternFill patternType="solid">
        <fgColor rgb="00F4EBD2"/>
      </patternFill>
    </fill>
  </fills>
  <borders count="3">
    <border>
      <left/>
      <right/>
      <top/>
      <bottom/>
      <diagonal/>
    </border>
    <border>
      <bottom style="thin">
        <color rgb="00D9E2E7"/>
      </bottom>
    </border>
    <border>
      <left style="thin">
        <color rgb="00D9E2E7"/>
      </left>
      <right style="thin">
        <color rgb="00D9E2E7"/>
      </right>
      <top style="thin">
        <color rgb="00D9E2E7"/>
      </top>
      <bottom style="thin">
        <color rgb="00D9E2E7"/>
      </bottom>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0" applyAlignment="1" pivotButton="0" quotePrefix="0" xfId="0">
      <alignment vertical="center"/>
    </xf>
    <xf numFmtId="0" fontId="4" fillId="5"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2"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1" fontId="8" fillId="7" borderId="0" applyAlignment="1" pivotButton="0" quotePrefix="0" xfId="0">
      <alignment horizontal="center"/>
    </xf>
    <xf numFmtId="0" fontId="4" fillId="2" borderId="2" applyAlignment="1" pivotButton="0" quotePrefix="0" xfId="0">
      <alignment horizontal="center" vertical="center"/>
    </xf>
    <xf numFmtId="0" fontId="0" fillId="0" borderId="2" pivotButton="0" quotePrefix="0" xfId="0"/>
    <xf numFmtId="2" fontId="9" fillId="8" borderId="2" applyAlignment="1" pivotButton="0" quotePrefix="0" xfId="0">
      <alignment horizontal="center" vertical="center"/>
    </xf>
    <xf numFmtId="164" fontId="9" fillId="3" borderId="2" applyAlignment="1" pivotButton="0" quotePrefix="0" xfId="0">
      <alignment horizontal="center" vertical="center"/>
    </xf>
    <xf numFmtId="1" fontId="9" fillId="9" borderId="2" applyAlignment="1" pivotButton="0" quotePrefix="0" xfId="0">
      <alignment horizontal="center" vertical="center"/>
    </xf>
    <xf numFmtId="0" fontId="4" fillId="4" borderId="0" applyAlignment="1" pivotButton="0" quotePrefix="0" xfId="0">
      <alignment horizontal="center"/>
    </xf>
    <xf numFmtId="165" fontId="0" fillId="0" borderId="1" applyAlignment="1" pivotButton="0" quotePrefix="0" xfId="0">
      <alignment horizontal="center"/>
    </xf>
    <xf numFmtId="2" fontId="0" fillId="0" borderId="1" applyAlignment="1" pivotButton="0" quotePrefix="0" xfId="0">
      <alignment horizontal="center"/>
    </xf>
    <xf numFmtId="164" fontId="0" fillId="0" borderId="1" applyAlignment="1" pivotButton="0" quotePrefix="0" xfId="0">
      <alignment horizontal="center"/>
    </xf>
    <xf numFmtId="0" fontId="4" fillId="2" borderId="0" applyAlignment="1" pivotButton="0" quotePrefix="0" xfId="0">
      <alignment vertical="center"/>
    </xf>
    <xf numFmtId="167" fontId="0"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Hours by month</a:t>
            </a:r>
          </a:p>
        </rich>
      </tx>
    </title>
    <plotArea>
      <barChart>
        <barDir val="col"/>
        <grouping val="clustered"/>
        <ser>
          <idx val="0"/>
          <order val="0"/>
          <tx>
            <strRef>
              <f>'Summary'!C9</f>
            </strRef>
          </tx>
          <spPr>
            <a:ln xmlns:a="http://schemas.openxmlformats.org/drawingml/2006/main">
              <a:prstDash val="solid"/>
            </a:ln>
          </spPr>
          <cat>
            <numRef>
              <f>'Summary'!$B$10:$B$21</f>
            </numRef>
          </cat>
          <val>
            <numRef>
              <f>'Summary'!$C$10:$C$21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Miles by month</a:t>
            </a:r>
          </a:p>
        </rich>
      </tx>
    </title>
    <plotArea>
      <lineChart>
        <grouping val="standard"/>
        <ser>
          <idx val="0"/>
          <order val="0"/>
          <tx>
            <strRef>
              <f>'Summary'!D9</f>
            </strRef>
          </tx>
          <spPr>
            <a:ln xmlns:a="http://schemas.openxmlformats.org/drawingml/2006/main">
              <a:prstDash val="solid"/>
            </a:ln>
          </spPr>
          <marker>
            <symbol val="none"/>
            <spPr>
              <a:ln xmlns:a="http://schemas.openxmlformats.org/drawingml/2006/main">
                <a:prstDash val="solid"/>
              </a:ln>
            </spPr>
          </marker>
          <cat>
            <numRef>
              <f>'Summary'!$B$10:$B$21</f>
            </numRef>
          </cat>
          <val>
            <numRef>
              <f>'Summary'!$D$10:$D$21</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Miles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8</row>
      <rowOff>0</rowOff>
    </from>
    <ext cx="4428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22</row>
      <rowOff>0</rowOff>
    </from>
    <ext cx="4428000" cy="259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imeLog" displayName="TimeLog" ref="A1:E4" headerRowCount="1">
  <autoFilter ref="A1:E4"/>
  <tableColumns count="5">
    <tableColumn id="1" name="Date"/>
    <tableColumn id="2" name="Property"/>
    <tableColumn id="3" name="Activity"/>
    <tableColumn id="4" name="Hours"/>
    <tableColumn id="5" name="Notes"/>
  </tableColumns>
  <tableStyleInfo name="TableStyleMedium2" showFirstColumn="0" showLastColumn="0" showRowStripes="1" showColumnStripes="0"/>
</table>
</file>

<file path=xl/tables/table2.xml><?xml version="1.0" encoding="utf-8"?>
<table xmlns="http://schemas.openxmlformats.org/spreadsheetml/2006/main" id="2" name="MileageLog" displayName="MileageLog" ref="A1:G4" headerRowCount="1">
  <autoFilter ref="A1:G4"/>
  <tableColumns count="7">
    <tableColumn id="1" name="Date"/>
    <tableColumn id="2" name="Property"/>
    <tableColumn id="3" name="Trip Purpose"/>
    <tableColumn id="4" name="Start Location"/>
    <tableColumn id="5" name="Destination"/>
    <tableColumn id="6" name="Miles"/>
    <tableColumn id="7" name="Not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E9C46A"/>
    <outlinePr summaryBelow="1" summaryRight="1"/>
    <pageSetUpPr fitToPage="1"/>
  </sheetPr>
  <dimension ref="A1:D24"/>
  <sheetViews>
    <sheetView showGridLines="0" workbookViewId="0">
      <pane ySplit="3" topLeftCell="A4" activePane="bottomLeft" state="frozen"/>
      <selection pane="bottomLeft" activeCell="A1" sqref="A1"/>
    </sheetView>
  </sheetViews>
  <sheetFormatPr baseColWidth="8" defaultRowHeight="15"/>
  <cols>
    <col width="4" customWidth="1" min="1" max="1"/>
    <col width="24" customWidth="1" min="2" max="2"/>
    <col width="74" customWidth="1" min="3" max="3"/>
    <col width="4" customWidth="1" min="4" max="4"/>
  </cols>
  <sheetData>
    <row r="1" ht="38" customHeight="1">
      <c r="A1" s="1" t="inlineStr">
        <is>
          <t>Business Time &amp; Mileage Tracker</t>
        </is>
      </c>
    </row>
    <row r="2" ht="25" customHeight="1">
      <c r="A2" s="2" t="inlineStr">
        <is>
          <t>A simple Excel template for rental-property business records</t>
        </is>
      </c>
    </row>
    <row r="4" ht="24" customHeight="1">
      <c r="A4" s="3" t="inlineStr">
        <is>
          <t>Quick start</t>
        </is>
      </c>
    </row>
    <row r="5" ht="38" customHeight="1">
      <c r="A5" s="4" t="inlineStr">
        <is>
          <t>1</t>
        </is>
      </c>
      <c r="B5" s="5" t="inlineStr">
        <is>
          <t>Set the reporting year</t>
        </is>
      </c>
      <c r="C5" s="6" t="inlineStr">
        <is>
          <t>Open Summary and enter the year you want to review in cell B3.</t>
        </is>
      </c>
    </row>
    <row r="6" ht="38" customHeight="1">
      <c r="A6" s="4" t="inlineStr">
        <is>
          <t>2</t>
        </is>
      </c>
      <c r="B6" s="5" t="inlineStr">
        <is>
          <t>Replace the sample rows</t>
        </is>
      </c>
      <c r="C6" s="6" t="inlineStr">
        <is>
          <t>Open Time Log and Mileage Log, then replace the examples with your own records.</t>
        </is>
      </c>
    </row>
    <row r="7" ht="38" customHeight="1">
      <c r="A7" s="4" t="inlineStr">
        <is>
          <t>3</t>
        </is>
      </c>
      <c r="B7" s="5" t="inlineStr">
        <is>
          <t>Add entries</t>
        </is>
      </c>
      <c r="C7" s="6" t="inlineStr">
        <is>
          <t>Type directly in the first blank row under each table. Excel expands the table and formulas automatically.</t>
        </is>
      </c>
    </row>
    <row r="8" ht="38" customHeight="1">
      <c r="A8" s="4" t="inlineStr">
        <is>
          <t>4</t>
        </is>
      </c>
      <c r="B8" s="5" t="inlineStr">
        <is>
          <t>Review totals</t>
        </is>
      </c>
      <c r="C8" s="6" t="inlineStr">
        <is>
          <t>Use Summary for yearly totals, monthly detail, and charts.</t>
        </is>
      </c>
    </row>
    <row r="9" ht="38" customHeight="1">
      <c r="A9" s="4" t="inlineStr">
        <is>
          <t>5</t>
        </is>
      </c>
      <c r="B9" s="5" t="inlineStr">
        <is>
          <t>Filter or print</t>
        </is>
      </c>
      <c r="C9" s="6" t="inlineStr">
        <is>
          <t>Use the filter arrows in either log. Print settings repeat the header row and fit the log to one page wide.</t>
        </is>
      </c>
    </row>
    <row r="11" ht="24" customHeight="1">
      <c r="A11" s="3" t="inlineStr">
        <is>
          <t>Tips for clean records</t>
        </is>
      </c>
    </row>
    <row r="12" ht="34" customHeight="1">
      <c r="B12" s="7" t="inlineStr">
        <is>
          <t>Use decimal hours</t>
        </is>
      </c>
      <c r="C12" s="6" t="inlineStr">
        <is>
          <t>Record 1 hour 30 minutes as 1.5 hours.</t>
        </is>
      </c>
    </row>
    <row r="13" ht="34" customHeight="1">
      <c r="B13" s="7" t="inlineStr">
        <is>
          <t>Keep business purpose specific</t>
        </is>
      </c>
      <c r="C13" s="6" t="inlineStr">
        <is>
          <t>Write a clear reason, such as appliance pickup or tenant inspection.</t>
        </is>
      </c>
    </row>
    <row r="14" ht="34" customHeight="1">
      <c r="B14" s="7" t="inlineStr">
        <is>
          <t>Use consistent property names</t>
        </is>
      </c>
      <c r="C14" s="6" t="inlineStr">
        <is>
          <t>Consistent names make filters and future summaries easier.</t>
        </is>
      </c>
    </row>
    <row r="15" ht="34" customHeight="1">
      <c r="B15" s="7" t="inlineStr">
        <is>
          <t>Keep source documents</t>
        </is>
      </c>
      <c r="C15" s="6" t="inlineStr">
        <is>
          <t>Retain calendars, receipts, invoices, and other records that support each entry.</t>
        </is>
      </c>
    </row>
    <row r="17" ht="24" customHeight="1">
      <c r="A17" s="3" t="inlineStr">
        <is>
          <t>Start a new year</t>
        </is>
      </c>
    </row>
    <row r="18">
      <c r="B18" s="8" t="inlineStr">
        <is>
          <t>Save a copy of this workbook with the year in the file name. Clear the data rows in both logs, enter the new year on Summary, and keep the prior workbook as your archive. Do not delete the table header rows.</t>
        </is>
      </c>
    </row>
    <row r="19"/>
    <row r="20"/>
    <row r="22" ht="24" customHeight="1">
      <c r="A22" s="3" t="inlineStr">
        <is>
          <t>Customize activity choices</t>
        </is>
      </c>
    </row>
    <row r="23">
      <c r="B23" s="9" t="inlineStr">
        <is>
          <t>Unhide the Lists sheet (Home &gt; Format &gt; Hide &amp; Unhide &gt; Unhide Sheet), edit the activity names, then hide it again. Keep the choices within cells A2:A11 so the dropdown continues to work.</t>
        </is>
      </c>
    </row>
    <row r="24"/>
  </sheetData>
  <mergeCells count="8">
    <mergeCell ref="A1:D1"/>
    <mergeCell ref="A17:D17"/>
    <mergeCell ref="A22:D22"/>
    <mergeCell ref="A4:D4"/>
    <mergeCell ref="B18:C20"/>
    <mergeCell ref="B23:C24"/>
    <mergeCell ref="A2:D2"/>
    <mergeCell ref="A11:D11"/>
  </mergeCells>
  <pageMargins left="0.75" right="0.75" top="1" bottom="1" header="0.5" footer="0.5"/>
  <pageSetup fitToHeight="1" fitToWidth="1"/>
  <headerFooter>
    <oddHeader/>
    <oddFooter>&amp;CBusiness Time &amp; Mileage Tracker</oddFooter>
    <evenHeader/>
    <evenFooter/>
    <firstHeader/>
    <firstFooter/>
  </headerFooter>
</worksheet>
</file>

<file path=xl/worksheets/sheet2.xml><?xml version="1.0" encoding="utf-8"?>
<worksheet xmlns="http://schemas.openxmlformats.org/spreadsheetml/2006/main">
  <sheetPr>
    <tabColor rgb="002A9D8F"/>
    <outlinePr summaryBelow="1" summaryRight="1"/>
    <pageSetUpPr fitToPage="1"/>
  </sheetPr>
  <dimension ref="A1:I21"/>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4" customWidth="1" min="1" max="1"/>
    <col width="17" customWidth="1" min="2" max="2"/>
    <col width="16" customWidth="1" min="3" max="3"/>
    <col width="4" customWidth="1" min="4" max="4"/>
    <col width="17" customWidth="1" min="5" max="5"/>
    <col width="16" customWidth="1" min="6" max="6"/>
    <col width="4" customWidth="1" min="7" max="7"/>
    <col width="17" customWidth="1" min="8" max="8"/>
    <col width="16" customWidth="1" min="9" max="9"/>
  </cols>
  <sheetData>
    <row r="1" ht="38" customHeight="1">
      <c r="A1" s="1" t="inlineStr">
        <is>
          <t>Business Activity Summary</t>
        </is>
      </c>
    </row>
    <row r="2" ht="25" customHeight="1">
      <c r="A2" s="2" t="inlineStr">
        <is>
          <t>Change the reporting year below. Totals and charts update automatically.</t>
        </is>
      </c>
    </row>
    <row r="3">
      <c r="A3" s="10" t="inlineStr">
        <is>
          <t>Reporting year</t>
        </is>
      </c>
      <c r="B3" s="11" t="n">
        <v>2026</v>
      </c>
    </row>
    <row r="5" ht="22" customHeight="1">
      <c r="B5" s="12" t="inlineStr">
        <is>
          <t>Total hours</t>
        </is>
      </c>
      <c r="C5" s="13" t="n"/>
      <c r="D5" s="12" t="inlineStr">
        <is>
          <t>Total miles</t>
        </is>
      </c>
      <c r="E5" s="13" t="n"/>
      <c r="F5" s="12" t="inlineStr">
        <is>
          <t>Time entries</t>
        </is>
      </c>
      <c r="G5" s="13" t="n"/>
      <c r="H5" s="12" t="inlineStr">
        <is>
          <t>Mileage entries</t>
        </is>
      </c>
      <c r="I5" s="13" t="n"/>
    </row>
    <row r="6" ht="31" customHeight="1">
      <c r="B6" s="14">
        <f>SUMIFS(TimeLog[Hours],TimeLog[Date],"&gt;="&amp;DATE($B$3,1,1),TimeLog[Date],"&lt;"&amp;DATE($B$3+1,1,1))</f>
        <v/>
      </c>
      <c r="C6" s="13" t="n"/>
      <c r="D6" s="15">
        <f>SUMIFS(MileageLog[Miles],MileageLog[Date],"&gt;="&amp;DATE($B$3,1,1),MileageLog[Date],"&lt;"&amp;DATE($B$3+1,1,1))</f>
        <v/>
      </c>
      <c r="E6" s="13" t="n"/>
      <c r="F6" s="16">
        <f>COUNTIFS(TimeLog[Date],"&gt;="&amp;DATE($B$3,1,1),TimeLog[Date],"&lt;"&amp;DATE($B$3+1,1,1))</f>
        <v/>
      </c>
      <c r="G6" s="13" t="n"/>
      <c r="H6" s="16">
        <f>COUNTIFS(MileageLog[Date],"&gt;="&amp;DATE($B$3,1,1),MileageLog[Date],"&lt;"&amp;DATE($B$3+1,1,1))</f>
        <v/>
      </c>
      <c r="I6" s="13" t="n"/>
    </row>
    <row r="7" ht="18" customHeight="1">
      <c r="B7" s="13" t="n"/>
      <c r="C7" s="13" t="n"/>
      <c r="D7" s="13" t="n"/>
      <c r="E7" s="13" t="n"/>
      <c r="F7" s="13" t="n"/>
      <c r="G7" s="13" t="n"/>
      <c r="H7" s="13" t="n"/>
      <c r="I7" s="13" t="n"/>
    </row>
    <row r="9">
      <c r="B9" s="17" t="inlineStr">
        <is>
          <t>Month</t>
        </is>
      </c>
      <c r="C9" s="17" t="inlineStr">
        <is>
          <t>Hours</t>
        </is>
      </c>
      <c r="D9" s="17" t="inlineStr">
        <is>
          <t>Miles</t>
        </is>
      </c>
    </row>
    <row r="10">
      <c r="B10" s="18">
        <f>DATE($B$3,1,1)</f>
        <v/>
      </c>
      <c r="C10" s="19">
        <f>SUMIFS(TimeLog[Hours],TimeLog[Date],"&gt;="&amp;B10,TimeLog[Date],"&lt;"&amp;EDATE(B10,1))</f>
        <v/>
      </c>
      <c r="D10" s="20">
        <f>SUMIFS(MileageLog[Miles],MileageLog[Date],"&gt;="&amp;B10,MileageLog[Date],"&lt;"&amp;EDATE(B10,1))</f>
        <v/>
      </c>
    </row>
    <row r="11">
      <c r="B11" s="18">
        <f>DATE($B$3,2,1)</f>
        <v/>
      </c>
      <c r="C11" s="19">
        <f>SUMIFS(TimeLog[Hours],TimeLog[Date],"&gt;="&amp;B11,TimeLog[Date],"&lt;"&amp;EDATE(B11,1))</f>
        <v/>
      </c>
      <c r="D11" s="20">
        <f>SUMIFS(MileageLog[Miles],MileageLog[Date],"&gt;="&amp;B11,MileageLog[Date],"&lt;"&amp;EDATE(B11,1))</f>
        <v/>
      </c>
    </row>
    <row r="12">
      <c r="B12" s="18">
        <f>DATE($B$3,3,1)</f>
        <v/>
      </c>
      <c r="C12" s="19">
        <f>SUMIFS(TimeLog[Hours],TimeLog[Date],"&gt;="&amp;B12,TimeLog[Date],"&lt;"&amp;EDATE(B12,1))</f>
        <v/>
      </c>
      <c r="D12" s="20">
        <f>SUMIFS(MileageLog[Miles],MileageLog[Date],"&gt;="&amp;B12,MileageLog[Date],"&lt;"&amp;EDATE(B12,1))</f>
        <v/>
      </c>
    </row>
    <row r="13">
      <c r="B13" s="18">
        <f>DATE($B$3,4,1)</f>
        <v/>
      </c>
      <c r="C13" s="19">
        <f>SUMIFS(TimeLog[Hours],TimeLog[Date],"&gt;="&amp;B13,TimeLog[Date],"&lt;"&amp;EDATE(B13,1))</f>
        <v/>
      </c>
      <c r="D13" s="20">
        <f>SUMIFS(MileageLog[Miles],MileageLog[Date],"&gt;="&amp;B13,MileageLog[Date],"&lt;"&amp;EDATE(B13,1))</f>
        <v/>
      </c>
    </row>
    <row r="14">
      <c r="B14" s="18">
        <f>DATE($B$3,5,1)</f>
        <v/>
      </c>
      <c r="C14" s="19">
        <f>SUMIFS(TimeLog[Hours],TimeLog[Date],"&gt;="&amp;B14,TimeLog[Date],"&lt;"&amp;EDATE(B14,1))</f>
        <v/>
      </c>
      <c r="D14" s="20">
        <f>SUMIFS(MileageLog[Miles],MileageLog[Date],"&gt;="&amp;B14,MileageLog[Date],"&lt;"&amp;EDATE(B14,1))</f>
        <v/>
      </c>
    </row>
    <row r="15">
      <c r="B15" s="18">
        <f>DATE($B$3,6,1)</f>
        <v/>
      </c>
      <c r="C15" s="19">
        <f>SUMIFS(TimeLog[Hours],TimeLog[Date],"&gt;="&amp;B15,TimeLog[Date],"&lt;"&amp;EDATE(B15,1))</f>
        <v/>
      </c>
      <c r="D15" s="20">
        <f>SUMIFS(MileageLog[Miles],MileageLog[Date],"&gt;="&amp;B15,MileageLog[Date],"&lt;"&amp;EDATE(B15,1))</f>
        <v/>
      </c>
    </row>
    <row r="16">
      <c r="B16" s="18">
        <f>DATE($B$3,7,1)</f>
        <v/>
      </c>
      <c r="C16" s="19">
        <f>SUMIFS(TimeLog[Hours],TimeLog[Date],"&gt;="&amp;B16,TimeLog[Date],"&lt;"&amp;EDATE(B16,1))</f>
        <v/>
      </c>
      <c r="D16" s="20">
        <f>SUMIFS(MileageLog[Miles],MileageLog[Date],"&gt;="&amp;B16,MileageLog[Date],"&lt;"&amp;EDATE(B16,1))</f>
        <v/>
      </c>
    </row>
    <row r="17">
      <c r="B17" s="18">
        <f>DATE($B$3,8,1)</f>
        <v/>
      </c>
      <c r="C17" s="19">
        <f>SUMIFS(TimeLog[Hours],TimeLog[Date],"&gt;="&amp;B17,TimeLog[Date],"&lt;"&amp;EDATE(B17,1))</f>
        <v/>
      </c>
      <c r="D17" s="20">
        <f>SUMIFS(MileageLog[Miles],MileageLog[Date],"&gt;="&amp;B17,MileageLog[Date],"&lt;"&amp;EDATE(B17,1))</f>
        <v/>
      </c>
    </row>
    <row r="18">
      <c r="B18" s="18">
        <f>DATE($B$3,9,1)</f>
        <v/>
      </c>
      <c r="C18" s="19">
        <f>SUMIFS(TimeLog[Hours],TimeLog[Date],"&gt;="&amp;B18,TimeLog[Date],"&lt;"&amp;EDATE(B18,1))</f>
        <v/>
      </c>
      <c r="D18" s="20">
        <f>SUMIFS(MileageLog[Miles],MileageLog[Date],"&gt;="&amp;B18,MileageLog[Date],"&lt;"&amp;EDATE(B18,1))</f>
        <v/>
      </c>
    </row>
    <row r="19">
      <c r="B19" s="18">
        <f>DATE($B$3,10,1)</f>
        <v/>
      </c>
      <c r="C19" s="19">
        <f>SUMIFS(TimeLog[Hours],TimeLog[Date],"&gt;="&amp;B19,TimeLog[Date],"&lt;"&amp;EDATE(B19,1))</f>
        <v/>
      </c>
      <c r="D19" s="20">
        <f>SUMIFS(MileageLog[Miles],MileageLog[Date],"&gt;="&amp;B19,MileageLog[Date],"&lt;"&amp;EDATE(B19,1))</f>
        <v/>
      </c>
    </row>
    <row r="20">
      <c r="B20" s="18">
        <f>DATE($B$3,11,1)</f>
        <v/>
      </c>
      <c r="C20" s="19">
        <f>SUMIFS(TimeLog[Hours],TimeLog[Date],"&gt;="&amp;B20,TimeLog[Date],"&lt;"&amp;EDATE(B20,1))</f>
        <v/>
      </c>
      <c r="D20" s="20">
        <f>SUMIFS(MileageLog[Miles],MileageLog[Date],"&gt;="&amp;B20,MileageLog[Date],"&lt;"&amp;EDATE(B20,1))</f>
        <v/>
      </c>
    </row>
    <row r="21">
      <c r="B21" s="18">
        <f>DATE($B$3,12,1)</f>
        <v/>
      </c>
      <c r="C21" s="19">
        <f>SUMIFS(TimeLog[Hours],TimeLog[Date],"&gt;="&amp;B21,TimeLog[Date],"&lt;"&amp;EDATE(B21,1))</f>
        <v/>
      </c>
      <c r="D21" s="20">
        <f>SUMIFS(MileageLog[Miles],MileageLog[Date],"&gt;="&amp;B21,MileageLog[Date],"&lt;"&amp;EDATE(B21,1))</f>
        <v/>
      </c>
    </row>
  </sheetData>
  <mergeCells count="10">
    <mergeCell ref="A2:I2"/>
    <mergeCell ref="H6:I7"/>
    <mergeCell ref="B5:C5"/>
    <mergeCell ref="F5:G5"/>
    <mergeCell ref="D5:E5"/>
    <mergeCell ref="A1:I1"/>
    <mergeCell ref="D6:E7"/>
    <mergeCell ref="B6:C7"/>
    <mergeCell ref="H5:I5"/>
    <mergeCell ref="F6:G7"/>
  </mergeCells>
  <conditionalFormatting sqref="C10:C21">
    <cfRule type="colorScale" priority="1">
      <colorScale>
        <cfvo type="min"/>
        <cfvo type="max"/>
        <color rgb="00FFFFFF"/>
        <color rgb="002A9D8F"/>
      </colorScale>
    </cfRule>
  </conditionalFormatting>
  <conditionalFormatting sqref="D10:D21">
    <cfRule type="colorScale" priority="2">
      <colorScale>
        <cfvo type="min"/>
        <cfvo type="max"/>
        <color rgb="00FFFFFF"/>
        <color rgb="002F6B8A"/>
      </colorScale>
    </cfRule>
  </conditionalFormatting>
  <dataValidations count="1">
    <dataValidation sqref="B3" showDropDown="0" showInputMessage="0" showErrorMessage="1" allowBlank="0" errorTitle="Invalid year" error="Enter a four-digit year between 2000 and 2100." type="whole" operator="between">
      <formula1>2000</formula1>
      <formula2>2100</formula2>
    </dataValidation>
  </dataValidations>
  <pageMargins left="0.75" right="0.75" top="1" bottom="1" header="0.5" footer="0.5"/>
  <pageSetup orientation="landscape" fitToHeight="1" fitToWidth="1"/>
  <headerFooter>
    <oddHeader/>
    <oddFooter>&amp;CBusiness Time &amp; Mileage Tracker&amp;RPage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A9D8F"/>
    <outlinePr summaryBelow="1" summaryRight="1"/>
    <pageSetUpPr fitToPage="1"/>
  </sheetPr>
  <dimension ref="A1:E4"/>
  <sheetViews>
    <sheetView showGridLines="0" workbookViewId="0">
      <pane ySplit="1" topLeftCell="A2" activePane="bottomLeft" state="frozen"/>
      <selection pane="bottomLeft" activeCell="A1" sqref="A1"/>
    </sheetView>
  </sheetViews>
  <sheetFormatPr baseColWidth="8" defaultRowHeight="15"/>
  <cols>
    <col width="13" customWidth="1" min="1" max="1"/>
    <col width="25" customWidth="1" min="2" max="2"/>
    <col width="24" customWidth="1" min="3" max="3"/>
    <col width="12" customWidth="1" min="4" max="4"/>
    <col width="52" customWidth="1" min="5" max="5"/>
  </cols>
  <sheetData>
    <row r="1" ht="26" customHeight="1">
      <c r="A1" s="21" t="inlineStr">
        <is>
          <t>Date</t>
        </is>
      </c>
      <c r="B1" s="21" t="inlineStr">
        <is>
          <t>Property</t>
        </is>
      </c>
      <c r="C1" s="21" t="inlineStr">
        <is>
          <t>Activity</t>
        </is>
      </c>
      <c r="D1" s="21" t="inlineStr">
        <is>
          <t>Hours</t>
        </is>
      </c>
      <c r="E1" s="21" t="inlineStr">
        <is>
          <t>Notes</t>
        </is>
      </c>
    </row>
    <row r="2">
      <c r="A2" s="22" t="n">
        <v>46030</v>
      </c>
      <c r="B2" s="23" t="inlineStr">
        <is>
          <t>Maple Street Duplex</t>
        </is>
      </c>
      <c r="C2" s="23" t="inlineStr">
        <is>
          <t>Maintenance</t>
        </is>
      </c>
      <c r="D2" s="24" t="n">
        <v>2.5</v>
      </c>
      <c r="E2" s="23" t="inlineStr">
        <is>
          <t>Replaced kitchen faucet</t>
        </is>
      </c>
    </row>
    <row r="3">
      <c r="A3" s="22" t="n">
        <v>46037</v>
      </c>
      <c r="B3" s="23" t="inlineStr">
        <is>
          <t>Maple Street Duplex</t>
        </is>
      </c>
      <c r="C3" s="23" t="inlineStr">
        <is>
          <t>Tenant communication</t>
        </is>
      </c>
      <c r="D3" s="24" t="n">
        <v>0.75</v>
      </c>
      <c r="E3" s="23" t="inlineStr">
        <is>
          <t>Lease renewal call</t>
        </is>
      </c>
    </row>
    <row r="4">
      <c r="A4" s="22" t="n">
        <v>46056</v>
      </c>
      <c r="B4" s="23" t="inlineStr">
        <is>
          <t>Oak Avenue Rental</t>
        </is>
      </c>
      <c r="C4" s="23" t="inlineStr">
        <is>
          <t>Bookkeeping</t>
        </is>
      </c>
      <c r="D4" s="24" t="n">
        <v>1.25</v>
      </c>
      <c r="E4" s="23" t="inlineStr">
        <is>
          <t>Reconciled January expenses</t>
        </is>
      </c>
    </row>
  </sheetData>
  <dataValidations count="3">
    <dataValidation sqref="C2:C1001" showDropDown="0" showInputMessage="1" showErrorMessage="1" allowBlank="0" errorTitle="Select a listed activity" error="Choose an activity from the dropdown." promptTitle="Choose an activity" prompt="Select a common activity or add one on the Lists sheet." type="list" errorStyle="stop">
      <formula1>'Lists'!$A$2:$A$11</formula1>
    </dataValidation>
    <dataValidation sqref="A2:A1001" showDropDown="0" showInputMessage="1" showErrorMessage="1" allowBlank="0" errorTitle="Invalid date" error="Enter a valid date between 2000 and 2100." promptTitle="Enter a date" prompt="Use a date between 2000 and 2100." type="date" errorStyle="stop" operator="between">
      <formula1>DATE(2000,1,1)</formula1>
      <formula2>DATE(2100,12,31)</formula2>
    </dataValidation>
    <dataValidation sqref="D2:D1001" showDropDown="0" showInputMessage="1" showErrorMessage="1" allowBlank="0" errorTitle="Invalid hours" error="Hours must be a number greater than 0 and no more than 24." promptTitle="Enter hours" prompt="Enter decimal hours from 0.01 to 24, such as 1.5." type="decimal" errorStyle="stop" operator="between">
      <formula1>0.01</formula1>
      <formula2>24</formula2>
    </dataValidation>
  </dataValidations>
  <pageMargins left="0.75" right="0.75" top="1" bottom="1" header="0.5" footer="0.5"/>
  <pageSetup orientation="landscape" fitToHeight="0" fitToWidth="1"/>
  <headerFooter>
    <oddHeader/>
    <oddFooter>&amp;C&amp;8 Business Time &amp; Mileage Tracker&amp;R&amp;8 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2F6B8A"/>
    <outlinePr summaryBelow="1" summaryRight="1"/>
    <pageSetUpPr fitToPage="1"/>
  </sheetPr>
  <dimension ref="A1:G4"/>
  <sheetViews>
    <sheetView showGridLines="0" workbookViewId="0">
      <pane ySplit="1" topLeftCell="A2" activePane="bottomLeft" state="frozen"/>
      <selection pane="bottomLeft" activeCell="A1" sqref="A1"/>
    </sheetView>
  </sheetViews>
  <sheetFormatPr baseColWidth="8" defaultRowHeight="15"/>
  <cols>
    <col width="13" customWidth="1" min="1" max="1"/>
    <col width="23" customWidth="1" min="2" max="2"/>
    <col width="25" customWidth="1" min="3" max="3"/>
    <col width="22" customWidth="1" min="4" max="4"/>
    <col width="24" customWidth="1" min="5" max="5"/>
    <col width="12" customWidth="1" min="6" max="6"/>
    <col width="40" customWidth="1" min="7" max="7"/>
  </cols>
  <sheetData>
    <row r="1" ht="26" customHeight="1">
      <c r="A1" s="21" t="inlineStr">
        <is>
          <t>Date</t>
        </is>
      </c>
      <c r="B1" s="21" t="inlineStr">
        <is>
          <t>Property</t>
        </is>
      </c>
      <c r="C1" s="21" t="inlineStr">
        <is>
          <t>Trip Purpose</t>
        </is>
      </c>
      <c r="D1" s="21" t="inlineStr">
        <is>
          <t>Start Location</t>
        </is>
      </c>
      <c r="E1" s="21" t="inlineStr">
        <is>
          <t>Destination</t>
        </is>
      </c>
      <c r="F1" s="21" t="inlineStr">
        <is>
          <t>Miles</t>
        </is>
      </c>
      <c r="G1" s="21" t="inlineStr">
        <is>
          <t>Notes</t>
        </is>
      </c>
    </row>
    <row r="2">
      <c r="A2" s="22" t="n">
        <v>46030</v>
      </c>
      <c r="B2" s="23" t="inlineStr">
        <is>
          <t>Maple Street Duplex</t>
        </is>
      </c>
      <c r="C2" s="23" t="inlineStr">
        <is>
          <t>Maintenance visit</t>
        </is>
      </c>
      <c r="D2" s="23" t="inlineStr">
        <is>
          <t>Home office</t>
        </is>
      </c>
      <c r="E2" s="23" t="inlineStr">
        <is>
          <t>Maple Street Duplex</t>
        </is>
      </c>
      <c r="F2" s="25" t="n">
        <v>18.4</v>
      </c>
      <c r="G2" s="23" t="inlineStr">
        <is>
          <t>Faucet repair</t>
        </is>
      </c>
    </row>
    <row r="3">
      <c r="A3" s="22" t="n">
        <v>46042</v>
      </c>
      <c r="B3" s="23" t="inlineStr">
        <is>
          <t>Oak Avenue Rental</t>
        </is>
      </c>
      <c r="C3" s="23" t="inlineStr">
        <is>
          <t>Supply pickup</t>
        </is>
      </c>
      <c r="D3" s="23" t="inlineStr">
        <is>
          <t>Home office</t>
        </is>
      </c>
      <c r="E3" s="23" t="inlineStr">
        <is>
          <t>Hardware store</t>
        </is>
      </c>
      <c r="F3" s="25" t="n">
        <v>11.2</v>
      </c>
      <c r="G3" s="23" t="inlineStr">
        <is>
          <t>Paint and smoke detectors</t>
        </is>
      </c>
    </row>
    <row r="4">
      <c r="A4" s="22" t="n">
        <v>46056</v>
      </c>
      <c r="B4" s="23" t="inlineStr">
        <is>
          <t>Oak Avenue Rental</t>
        </is>
      </c>
      <c r="C4" s="23" t="inlineStr">
        <is>
          <t>Property inspection</t>
        </is>
      </c>
      <c r="D4" s="23" t="inlineStr">
        <is>
          <t>Home office</t>
        </is>
      </c>
      <c r="E4" s="23" t="inlineStr">
        <is>
          <t>Oak Avenue Rental</t>
        </is>
      </c>
      <c r="F4" s="25" t="n">
        <v>24.8</v>
      </c>
      <c r="G4" s="23" t="inlineStr">
        <is>
          <t>Quarterly walkthrough</t>
        </is>
      </c>
    </row>
  </sheetData>
  <dataValidations count="2">
    <dataValidation sqref="A2:A1001" showDropDown="0" showInputMessage="1" showErrorMessage="1" allowBlank="0" errorTitle="Invalid date" error="Enter a valid date between 2000 and 2100." promptTitle="Enter a date" prompt="Use a date between 2000 and 2100." type="date" errorStyle="stop" operator="between">
      <formula1>DATE(2000,1,1)</formula1>
      <formula2>DATE(2100,12,31)</formula2>
    </dataValidation>
    <dataValidation sqref="F2:F1001" showDropDown="0" showInputMessage="1" showErrorMessage="1" allowBlank="0" errorTitle="Invalid mileage" error="Miles must be a number greater than 0." promptTitle="Enter miles" prompt="Enter the business miles driven for this trip." type="decimal" errorStyle="stop" operator="between">
      <formula1>0.01</formula1>
      <formula2>10000</formula2>
    </dataValidation>
  </dataValidations>
  <pageMargins left="0.75" right="0.75" top="1" bottom="1" header="0.5" footer="0.5"/>
  <pageSetup orientation="landscape" fitToHeight="0" fitToWidth="1"/>
  <headerFooter>
    <oddHeader/>
    <oddFooter>&amp;C&amp;8 Business Time &amp; Mileage Tracker&amp;R&amp;8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28" customWidth="1" min="1" max="1"/>
  </cols>
  <sheetData>
    <row r="1">
      <c r="A1" t="inlineStr">
        <is>
          <t>Activity</t>
        </is>
      </c>
    </row>
    <row r="2">
      <c r="A2" t="inlineStr">
        <is>
          <t>Administration</t>
        </is>
      </c>
    </row>
    <row r="3">
      <c r="A3" t="inlineStr">
        <is>
          <t>Bookkeeping</t>
        </is>
      </c>
    </row>
    <row r="4">
      <c r="A4" t="inlineStr">
        <is>
          <t>Cleaning</t>
        </is>
      </c>
    </row>
    <row r="5">
      <c r="A5" t="inlineStr">
        <is>
          <t>Inspections</t>
        </is>
      </c>
    </row>
    <row r="6">
      <c r="A6" t="inlineStr">
        <is>
          <t>Maintenance</t>
        </is>
      </c>
    </row>
    <row r="7">
      <c r="A7" t="inlineStr">
        <is>
          <t>Marketing</t>
        </is>
      </c>
    </row>
    <row r="8">
      <c r="A8" t="inlineStr">
        <is>
          <t>Property research</t>
        </is>
      </c>
    </row>
    <row r="9">
      <c r="A9" t="inlineStr">
        <is>
          <t>Tenant communication</t>
        </is>
      </c>
    </row>
    <row r="10">
      <c r="A10" t="inlineStr">
        <is>
          <t>Travel planning</t>
        </is>
      </c>
    </row>
    <row r="11">
      <c r="A11"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Business Time and Mileage Tracker</dc:creator>
  <dc:title xmlns:dc="http://purl.org/dc/elements/1.1/">Business Time and Mileage Tracker</dc:title>
  <dc:subject xmlns:dc="http://purl.org/dc/elements/1.1/">Rental-property business time and mileage record template</dc:subject>
  <dcterms:created xmlns:dcterms="http://purl.org/dc/terms/" xmlns:xsi="http://www.w3.org/2001/XMLSchema-instance" xsi:type="dcterms:W3CDTF">2026-10-03T03:44:03Z</dcterms:created>
  <dcterms:modified xmlns:dcterms="http://purl.org/dc/terms/" xmlns:xsi="http://www.w3.org/2001/XMLSchema-instance" xsi:type="dcterms:W3CDTF">2026-10-03T03:44:03Z</dcterms:modified>
  <cp:keywords>rental property, time log, mileage log, business records</cp:keywords>
</cp:coreProperties>
</file>